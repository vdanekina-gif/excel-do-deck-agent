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Compan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  <font>
      <name val="Arial"/>
      <b val="1"/>
      <color rgb="001F3864"/>
      <sz val="14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165" fontId="2" fillId="0" borderId="0" applyAlignment="1" pivotButton="0" quotePrefix="0" xfId="0">
      <alignment horizontal="left"/>
    </xf>
    <xf numFmtId="166" fontId="2" fillId="0" borderId="0" applyAlignment="1" pivotButton="0" quotePrefix="0" xfId="0">
      <alignment horizontal="left"/>
    </xf>
    <xf numFmtId="167" fontId="2" fillId="0" borderId="0" applyAlignment="1" pivotButton="0" quotePrefix="0" xfId="0">
      <alignment horizontal="left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7" customWidth="1" min="3" max="3"/>
    <col width="12" customWidth="1" min="4" max="4"/>
    <col width="16" customWidth="1" min="5" max="5"/>
    <col width="14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9" customWidth="1" min="12" max="12"/>
    <col width="20" customWidth="1" min="13" max="13"/>
    <col width="9" customWidth="1" min="14" max="14"/>
    <col width="10" customWidth="1" min="15" max="15"/>
    <col width="13" customWidth="1" min="16" max="16"/>
    <col width="8" customWidth="1" min="17" max="17"/>
    <col width="11" customWidth="1" min="18" max="18"/>
  </cols>
  <sheetData>
    <row r="1" ht="32" customHeight="1">
      <c r="A1" s="1" t="inlineStr">
        <is>
          <t>Client</t>
        </is>
      </c>
      <c r="B1" s="1" t="inlineStr">
        <is>
          <t>Since</t>
        </is>
      </c>
      <c r="C1" s="1" t="inlineStr">
        <is>
          <t>Engagement type</t>
        </is>
      </c>
      <c r="D1" s="1" t="inlineStr">
        <is>
          <t>Contract end</t>
        </is>
      </c>
      <c r="E1" s="1" t="inlineStr">
        <is>
          <t>Revenue this year (projected, $)</t>
        </is>
      </c>
      <c r="F1" s="1" t="inlineStr">
        <is>
          <t>Revenue last year ($)</t>
        </is>
      </c>
      <c r="G1" s="1" t="inlineStr">
        <is>
          <t>GM this year</t>
        </is>
      </c>
      <c r="H1" s="1" t="inlineStr">
        <is>
          <t>GM last year</t>
        </is>
      </c>
      <c r="I1" s="1" t="inlineStr">
        <is>
          <t>Headcount</t>
        </is>
      </c>
      <c r="J1" s="1" t="inlineStr">
        <is>
          <t>Non-billable resources</t>
        </is>
      </c>
      <c r="K1" s="1" t="inlineStr">
        <is>
          <t>Utilization %</t>
        </is>
      </c>
      <c r="L1" s="1" t="inlineStr">
        <is>
          <t>Number of projects</t>
        </is>
      </c>
      <c r="M1" s="1" t="inlineStr">
        <is>
          <t>Delivery status</t>
        </is>
      </c>
      <c r="N1" s="1" t="inlineStr">
        <is>
          <t>Open risks</t>
        </is>
      </c>
      <c r="O1" s="1" t="inlineStr">
        <is>
          <t>NPS</t>
        </is>
      </c>
      <c r="P1" s="1" t="inlineStr">
        <is>
          <t>Last NPS date</t>
        </is>
      </c>
      <c r="Q1" s="1" t="inlineStr">
        <is>
          <t>eNPS</t>
        </is>
      </c>
      <c r="R1" s="1" t="inlineStr">
        <is>
          <t>Attrition %</t>
        </is>
      </c>
    </row>
    <row r="2">
      <c r="A2" s="2" t="inlineStr">
        <is>
          <t>Solvix Retail Group</t>
        </is>
      </c>
      <c r="B2" s="3" t="n">
        <v>44621</v>
      </c>
      <c r="C2" s="4" t="inlineStr">
        <is>
          <t>Staff augmentation</t>
        </is>
      </c>
      <c r="D2" s="3" t="n">
        <v>46813</v>
      </c>
      <c r="E2" s="5" t="n">
        <v>2851700</v>
      </c>
      <c r="F2" s="5" t="n">
        <v>2477600</v>
      </c>
      <c r="G2" s="6" t="n">
        <v>0.32</v>
      </c>
      <c r="H2" s="6" t="n">
        <v>0.29</v>
      </c>
      <c r="I2" s="4" t="n">
        <v>48</v>
      </c>
      <c r="J2" s="4" t="n">
        <v>3</v>
      </c>
      <c r="K2" s="6" t="n">
        <v>0.88</v>
      </c>
      <c r="L2" s="4" t="n">
        <v>3</v>
      </c>
      <c r="M2" s="4" t="inlineStr">
        <is>
          <t>N/A – client-managed</t>
        </is>
      </c>
      <c r="N2" s="4" t="n">
        <v>2</v>
      </c>
      <c r="O2" s="4" t="n">
        <v>42</v>
      </c>
      <c r="P2" s="3" t="n">
        <v>46096</v>
      </c>
      <c r="Q2" s="4" t="n">
        <v>38</v>
      </c>
      <c r="R2" s="6" t="n">
        <v>0.09</v>
      </c>
    </row>
    <row r="3">
      <c r="A3" s="2" t="inlineStr">
        <is>
          <t>Northfield Logistics</t>
        </is>
      </c>
      <c r="B3" s="3" t="n">
        <v>45078</v>
      </c>
      <c r="C3" s="4" t="inlineStr">
        <is>
          <t>Project-based</t>
        </is>
      </c>
      <c r="D3" s="3" t="n">
        <v>46752</v>
      </c>
      <c r="E3" s="5" t="n">
        <v>4945000</v>
      </c>
      <c r="F3" s="5" t="n">
        <v>4348400</v>
      </c>
      <c r="G3" s="6" t="n">
        <v>0.41</v>
      </c>
      <c r="H3" s="6" t="n">
        <v>0.38</v>
      </c>
      <c r="I3" s="4" t="n">
        <v>32</v>
      </c>
      <c r="J3" s="4" t="n">
        <v>4</v>
      </c>
      <c r="K3" s="4" t="n"/>
      <c r="L3" s="4" t="n">
        <v>5</v>
      </c>
      <c r="M3" s="4" t="inlineStr">
        <is>
          <t>On track</t>
        </is>
      </c>
      <c r="N3" s="4" t="n">
        <v>1</v>
      </c>
      <c r="O3" s="4" t="n">
        <v>55</v>
      </c>
      <c r="P3" s="3" t="n">
        <v>46174</v>
      </c>
      <c r="Q3" s="4" t="n">
        <v>44</v>
      </c>
      <c r="R3" s="6" t="n">
        <v>0.04</v>
      </c>
    </row>
    <row r="4">
      <c r="A4" s="2" t="inlineStr">
        <is>
          <t>Harborline Financial Services</t>
        </is>
      </c>
      <c r="B4" s="3" t="n">
        <v>44211</v>
      </c>
      <c r="C4" s="4" t="inlineStr">
        <is>
          <t>Staff augmentation</t>
        </is>
      </c>
      <c r="D4" s="3" t="n">
        <v>46402</v>
      </c>
      <c r="E4" s="5" t="n">
        <v>2042700</v>
      </c>
      <c r="F4" s="5" t="n">
        <v>2204500</v>
      </c>
      <c r="G4" s="6" t="n">
        <v>0.27</v>
      </c>
      <c r="H4" s="6" t="n">
        <v>0.3</v>
      </c>
      <c r="I4" s="4" t="n">
        <v>25</v>
      </c>
      <c r="J4" s="4" t="n">
        <v>2</v>
      </c>
      <c r="K4" s="6" t="n">
        <v>0.79</v>
      </c>
      <c r="L4" s="4" t="n">
        <v>2</v>
      </c>
      <c r="M4" s="4" t="inlineStr">
        <is>
          <t>N/A – client-managed</t>
        </is>
      </c>
      <c r="N4" s="4" t="n">
        <v>3</v>
      </c>
      <c r="O4" s="4" t="n">
        <v>21</v>
      </c>
      <c r="P4" s="3" t="n">
        <v>45910</v>
      </c>
      <c r="Q4" s="4" t="n">
        <v>30</v>
      </c>
      <c r="R4" s="6" t="n">
        <v>0.18</v>
      </c>
    </row>
    <row r="5">
      <c r="A5" s="2" t="inlineStr">
        <is>
          <t>Prairie Manufacturing Co.</t>
        </is>
      </c>
      <c r="B5" s="3" t="n">
        <v>45323</v>
      </c>
      <c r="C5" s="4" t="inlineStr">
        <is>
          <t>Project-based</t>
        </is>
      </c>
      <c r="D5" s="3" t="n">
        <v>46784</v>
      </c>
      <c r="E5" s="5" t="n">
        <v>1284400</v>
      </c>
      <c r="F5" s="5" t="n">
        <v>940500</v>
      </c>
      <c r="G5" s="6" t="n">
        <v>0.36</v>
      </c>
      <c r="H5" s="6" t="n">
        <v>0.33</v>
      </c>
      <c r="I5" s="4" t="n">
        <v>18</v>
      </c>
      <c r="J5" s="4" t="n">
        <v>2</v>
      </c>
      <c r="K5" s="4" t="n"/>
      <c r="L5" s="4" t="n">
        <v>2</v>
      </c>
      <c r="M5" s="4" t="inlineStr">
        <is>
          <t>At risk</t>
        </is>
      </c>
      <c r="N5" s="4" t="n">
        <v>4</v>
      </c>
      <c r="O5" s="4" t="n">
        <v>48</v>
      </c>
      <c r="P5" s="3" t="n">
        <v>46162</v>
      </c>
      <c r="Q5" s="4" t="n">
        <v>41</v>
      </c>
      <c r="R5" s="6" t="n">
        <v>0.06</v>
      </c>
    </row>
    <row r="7" ht="28" customHeight="1">
      <c r="A7" s="7" t="inlineStr">
        <is>
          <t>Note: all client names and figures on this sheet are fictional, created for portfolio-demo purposes. Utilization % applies only to staff-augmentation engagements (client owns delivery); Delivery status applies only to project-based engagements (we own delivery).</t>
        </is>
      </c>
    </row>
  </sheetData>
  <mergeCells count="1">
    <mergeCell ref="A7:R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8" t="inlineStr">
        <is>
          <t>Meridian Advisory Group — Portfolio Summary</t>
        </is>
      </c>
    </row>
    <row r="3">
      <c r="A3" s="9" t="inlineStr">
        <is>
          <t>Total revenue this year (projected)</t>
        </is>
      </c>
      <c r="B3" s="10">
        <f>SUM(Clients!E2:E5)</f>
        <v/>
      </c>
    </row>
    <row r="4">
      <c r="A4" s="9" t="inlineStr">
        <is>
          <t>Total revenue last year</t>
        </is>
      </c>
      <c r="B4" s="10">
        <f>SUM(Clients!F2:F5)</f>
        <v/>
      </c>
    </row>
    <row r="5">
      <c r="A5" s="9" t="inlineStr">
        <is>
          <t>YoY revenue growth</t>
        </is>
      </c>
      <c r="B5" s="11">
        <f>B3/B4-1</f>
        <v/>
      </c>
    </row>
    <row r="6">
      <c r="A6" s="9" t="inlineStr">
        <is>
          <t>Blended GM this year</t>
        </is>
      </c>
      <c r="B6" s="11">
        <f>SUMPRODUCT(Clients!E2:E5,Clients!G2:G5)/SUM(Clients!E2:E5)</f>
        <v/>
      </c>
    </row>
    <row r="7">
      <c r="A7" s="9" t="inlineStr">
        <is>
          <t>Blended GM last year</t>
        </is>
      </c>
      <c r="B7" s="11">
        <f>SUMPRODUCT(Clients!F2:F5,Clients!H2:H5)/SUM(Clients!F2:F5)</f>
        <v/>
      </c>
    </row>
    <row r="8">
      <c r="A8" s="9" t="inlineStr">
        <is>
          <t>Total headcount</t>
        </is>
      </c>
      <c r="B8" s="12">
        <f>SUM(Clients!I2:I5)</f>
        <v/>
      </c>
    </row>
    <row r="9">
      <c r="A9" s="9" t="inlineStr">
        <is>
          <t>Total non-billable resources</t>
        </is>
      </c>
      <c r="B9" s="12">
        <f>SUM(Clients!J2:J5)</f>
        <v/>
      </c>
    </row>
    <row r="10">
      <c r="A10" s="9" t="inlineStr">
        <is>
          <t>Average utilization % (staff-aug accounts)</t>
        </is>
      </c>
      <c r="B10" s="11">
        <f>AVERAGE(Clients!K2:K5)</f>
        <v/>
      </c>
    </row>
    <row r="11">
      <c r="A11" s="9" t="inlineStr">
        <is>
          <t>Total number of projects</t>
        </is>
      </c>
      <c r="B11" s="12">
        <f>SUM(Clients!L2:L5)</f>
        <v/>
      </c>
    </row>
    <row r="12">
      <c r="A12" s="9" t="inlineStr">
        <is>
          <t>Project-based accounts on track</t>
        </is>
      </c>
      <c r="B12" s="12">
        <f>COUNTIF(Clients!M2:M5,"On track")</f>
        <v/>
      </c>
    </row>
    <row r="13">
      <c r="A13" s="9" t="inlineStr">
        <is>
          <t>Project-based accounts at risk</t>
        </is>
      </c>
      <c r="B13" s="12">
        <f>COUNTIF(Clients!M2:M5,"At risk")</f>
        <v/>
      </c>
    </row>
    <row r="14">
      <c r="A14" s="9" t="inlineStr">
        <is>
          <t>Project-based accounts delayed</t>
        </is>
      </c>
      <c r="B14" s="12">
        <f>COUNTIF(Clients!M2:M5,"Delayed")</f>
        <v/>
      </c>
    </row>
    <row r="15">
      <c r="A15" s="9" t="inlineStr">
        <is>
          <t>Total open risks</t>
        </is>
      </c>
      <c r="B15" s="12">
        <f>SUM(Clients!N2:N5)</f>
        <v/>
      </c>
    </row>
    <row r="16">
      <c r="A16" s="9" t="inlineStr">
        <is>
          <t>Average NPS</t>
        </is>
      </c>
      <c r="B16" s="12">
        <f>AVERAGE(Clients!O2:O5)</f>
        <v/>
      </c>
    </row>
    <row r="17">
      <c r="A17" s="9" t="inlineStr">
        <is>
          <t>Average eNPS</t>
        </is>
      </c>
      <c r="B17" s="12">
        <f>AVERAGE(Clients!Q2:Q5)</f>
        <v/>
      </c>
    </row>
    <row r="18">
      <c r="A18" s="9" t="inlineStr">
        <is>
          <t>Average attrition %</t>
        </is>
      </c>
      <c r="B18" s="11">
        <f>AVERAGE(Clients!R2:R5)</f>
        <v/>
      </c>
    </row>
    <row r="20">
      <c r="A20" s="13" t="inlineStr">
        <is>
          <t>All figures computed live from the Clients sheet via formulas (SUM/AVERAGE/SUMPRODUCT/COUNTIF) — edit any client row and these totals recalculate.</t>
        </is>
      </c>
    </row>
  </sheetData>
  <mergeCells count="2">
    <mergeCell ref="A20:D2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2026-10-01T14:10:29Z</dcterms:created>
  <dcterms:modified xmlns:dcterms="http://purl.org/dc/terms/" xmlns:xsi="http://www.w3.org/2001/XMLSchema-instance" xsi:type="dcterms:W3CDTF">2026-10-01T14:10:29Z</dcterms:modified>
</cp:coreProperties>
</file>